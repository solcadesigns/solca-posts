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racker" sheetId="2" state="visible" r:id="rId4"/>
    <sheet name="Mensaje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<sst xmlns="http://schemas.openxmlformats.org/spreadsheetml/2006/main" count="251" uniqueCount="176">
  <si>
    <t xml:space="preserve">Instrucciones · campaña LinkedIn outreach</t>
  </si>
  <si>
    <t xml:space="preserve">Objetivo</t>
  </si>
  <si>
    <t xml:space="preserve">Invitar a PhDs en transición a usar el analizador gratis en solcaciencia.com/revisar-cv vía solicitudes de conexión LinkedIn con nota personalizada.</t>
  </si>
  <si>
    <t xml:space="preserve">Flujo operativo</t>
  </si>
  <si>
    <t xml:space="preserve">1.</t>
  </si>
  <si>
    <t xml:space="preserve">Claude prepara cola de perfiles desde la búsqueda LinkedIn (ver hoja 'Tracker').</t>
  </si>
  <si>
    <t xml:space="preserve">2.</t>
  </si>
  <si>
    <t xml:space="preserve">Claude envía 10-15 solicitudes de conexión por día (Lun-Vie) usando variantes V1-V4 rotativas (ver hoja 'Mensajes').</t>
  </si>
  <si>
    <t xml:space="preserve">3.</t>
  </si>
  <si>
    <t xml:space="preserve">Cada envío se registra en 'Tracker' con fecha, perfil, variante, estado inicial = 'Enviado'.</t>
  </si>
  <si>
    <t xml:space="preserve">4.</t>
  </si>
  <si>
    <t xml:space="preserve">Oscar revisa periódicamente y actualiza estado a 'Aceptado' / 'Respondió' / 'Bloqueado'.</t>
  </si>
  <si>
    <t xml:space="preserve">5.</t>
  </si>
  <si>
    <t xml:space="preserve">Hoja 'Resumen' calcula tasas automáticamente.</t>
  </si>
  <si>
    <t xml:space="preserve">Reglas de seguridad</t>
  </si>
  <si>
    <t xml:space="preserve">·</t>
  </si>
  <si>
    <t xml:space="preserve">Volumen: 10-15 por día. Lunes a viernes.</t>
  </si>
  <si>
    <t xml:space="preserve">Si tasa de aceptación cae &lt;15%: PAUSAR 1 semana, revisar mensaje o segmentación.</t>
  </si>
  <si>
    <t xml:space="preserve">Si aparece warning de LinkedIn ("estás enviando demasiadas solicitudes"): PAUSAR inmediato, esperar 7 días.</t>
  </si>
  <si>
    <t xml:space="preserve">Si alguno responde, NO copiar-pegar — responder personalmente.</t>
  </si>
  <si>
    <t xml:space="preserve">Cero envíos sábado y domingo.</t>
  </si>
  <si>
    <t xml:space="preserve">Filtros usados</t>
  </si>
  <si>
    <t xml:space="preserve">Job title: PhD Candidate, Doctorando, Postdoc, Investigador Postdoctoral, Doctor en Ciencias</t>
  </si>
  <si>
    <t xml:space="preserve">Educación: Doctorado / PhD</t>
  </si>
  <si>
    <t xml:space="preserve">Sector: Pharmaceuticals, Biotechnology, Medical Devices, Higher Education, Research, Hospitals</t>
  </si>
  <si>
    <t xml:space="preserve">Ubicación: México, Brasil, Argentina, Colombia, Chile, España (priorizar primeros 5)</t>
  </si>
  <si>
    <t xml:space="preserve">Keywords: 'open to work' OR 'transición' OR 'Medical Affairs' OR 'Clinical Research'</t>
  </si>
  <si>
    <t xml:space="preserve">Anti-filtros (excluir)</t>
  </si>
  <si>
    <t xml:space="preserve">Senior Director +, VP, C-level (ya están dentro de pharma)</t>
  </si>
  <si>
    <t xml:space="preserve">+10 años de experiencia en pharma</t>
  </si>
  <si>
    <t xml:space="preserve">Reclutadores y headhunters</t>
  </si>
  <si>
    <t xml:space="preserve">Tracking de link</t>
  </si>
  <si>
    <t xml:space="preserve">Link usado: solcaciencia.com/revisar-cv?ref=li</t>
  </si>
  <si>
    <t xml:space="preserve">El parámetro ?ref=li permite identificar tráfico LinkedIn en Cloudflare Analytics.</t>
  </si>
  <si>
    <t xml:space="preserve">Si no tienes analytics activos, esto es solo para tu referencia.</t>
  </si>
  <si>
    <t xml:space="preserve">Fecha enviado</t>
  </si>
  <si>
    <t xml:space="preserve">Hora</t>
  </si>
  <si>
    <t xml:space="preserve">Nombre</t>
  </si>
  <si>
    <t xml:space="preserve">Apellido</t>
  </si>
  <si>
    <t xml:space="preserve">Headline LinkedIn</t>
  </si>
  <si>
    <t xml:space="preserve">País</t>
  </si>
  <si>
    <t xml:space="preserve">Sector / Industria</t>
  </si>
  <si>
    <t xml:space="preserve">URL perfil</t>
  </si>
  <si>
    <t xml:space="preserve">Variante msj (V1-V4)</t>
  </si>
  <si>
    <t xml:space="preserve">Estado</t>
  </si>
  <si>
    <t xml:space="preserve">Fecha respuesta</t>
  </si>
  <si>
    <t xml:space="preserve">Click registrado?</t>
  </si>
  <si>
    <t xml:space="preserve">Notas</t>
  </si>
  <si>
    <t xml:space="preserve">11:45</t>
  </si>
  <si>
    <t xml:space="preserve">Andrea</t>
  </si>
  <si>
    <t xml:space="preserve">Molina Pineda</t>
  </si>
  <si>
    <t xml:space="preserve">PhD in Biomedical Sciences-Immunology · Univ. de Guadalajara</t>
  </si>
  <si>
    <t xml:space="preserve">México</t>
  </si>
  <si>
    <t xml:space="preserve">Investigación / Higher Education</t>
  </si>
  <si>
    <t xml:space="preserve">https://www.linkedin.com/in/andrea-molina-pineda/</t>
  </si>
  <si>
    <t xml:space="preserve">V1</t>
  </si>
  <si>
    <t xml:space="preserve">Enviado</t>
  </si>
  <si>
    <t xml:space="preserve">11:46</t>
  </si>
  <si>
    <t xml:space="preserve">Benjamin</t>
  </si>
  <si>
    <t xml:space="preserve">Garcia Ramirez</t>
  </si>
  <si>
    <t xml:space="preserve">Postdoctoral Researcher · UNAM</t>
  </si>
  <si>
    <t xml:space="preserve">https://www.linkedin.com/in/benjamin-garcia-ramirez/</t>
  </si>
  <si>
    <t xml:space="preserve">V2</t>
  </si>
  <si>
    <t xml:space="preserve">11:47</t>
  </si>
  <si>
    <t xml:space="preserve">Valentina</t>
  </si>
  <si>
    <t xml:space="preserve">Cajiao Checchin</t>
  </si>
  <si>
    <t xml:space="preserve">PhD Chemistry · Lic. Biotecnología y Biología Molecular</t>
  </si>
  <si>
    <t xml:space="preserve">https://www.linkedin.com/in/valentina-c-cajiao-checchin/</t>
  </si>
  <si>
    <t xml:space="preserve">V3</t>
  </si>
  <si>
    <t xml:space="preserve">11:48</t>
  </si>
  <si>
    <t xml:space="preserve">Viada</t>
  </si>
  <si>
    <t xml:space="preserve">Postdoctoral Researcher · Bolsista de Pós-doutorado FAPESP</t>
  </si>
  <si>
    <t xml:space="preserve">Brasil</t>
  </si>
  <si>
    <t xml:space="preserve">https://www.linkedin.com/in/benjamin-viada/</t>
  </si>
  <si>
    <t xml:space="preserve">V4</t>
  </si>
  <si>
    <t xml:space="preserve">Marisol</t>
  </si>
  <si>
    <t xml:space="preserve">Espitia Fajardo</t>
  </si>
  <si>
    <t xml:space="preserve">Investigadora posdoctoral · CINVESTAV · PhD en Ciencias Biología</t>
  </si>
  <si>
    <t xml:space="preserve">https://www.linkedin.com/in/marisol-espitia-fajardo/</t>
  </si>
  <si>
    <t xml:space="preserve">11:51</t>
  </si>
  <si>
    <t xml:space="preserve">Magaly</t>
  </si>
  <si>
    <t xml:space="preserve">Elizabeth Custodio</t>
  </si>
  <si>
    <t xml:space="preserve">Pharmaceutical Microbiology / QC Specialist</t>
  </si>
  <si>
    <t xml:space="preserve">Pharmaceuticals</t>
  </si>
  <si>
    <t xml:space="preserve">https://www.linkedin.com/in/magaly-elizabeth-custodio/</t>
  </si>
  <si>
    <t xml:space="preserve">11:52</t>
  </si>
  <si>
    <t xml:space="preserve">Mariano</t>
  </si>
  <si>
    <t xml:space="preserve">Eliécer Acosta Lobo</t>
  </si>
  <si>
    <t xml:space="preserve">Biólogo, MSc y PhD en Biotecnología · Docente investigador</t>
  </si>
  <si>
    <t xml:space="preserve">https://www.linkedin.com/in/mariano-eliecer-acosta-lobo/</t>
  </si>
  <si>
    <t xml:space="preserve">11:53</t>
  </si>
  <si>
    <t xml:space="preserve">Carolina</t>
  </si>
  <si>
    <t xml:space="preserve">Romero</t>
  </si>
  <si>
    <t xml:space="preserve">iB3-UBA · Inst. Biotecnología, Biociencias y Biología Traslacional</t>
  </si>
  <si>
    <t xml:space="preserve">Argentina</t>
  </si>
  <si>
    <t xml:space="preserve">https://www.linkedin.com/in/carolina-romero-uba/</t>
  </si>
  <si>
    <t xml:space="preserve">11:54</t>
  </si>
  <si>
    <t xml:space="preserve">Dira Patricia</t>
  </si>
  <si>
    <t xml:space="preserve">Barragán Torres</t>
  </si>
  <si>
    <t xml:space="preserve">Biological Engineer</t>
  </si>
  <si>
    <t xml:space="preserve">Biotecnología / Engineering</t>
  </si>
  <si>
    <t xml:space="preserve">https://www.linkedin.com/in/dira-patricia-barragan-torres/</t>
  </si>
  <si>
    <t xml:space="preserve">11:57</t>
  </si>
  <si>
    <t xml:space="preserve">Aldo Gael</t>
  </si>
  <si>
    <t xml:space="preserve">Luna Almaraz</t>
  </si>
  <si>
    <t xml:space="preserve">Bioprocess Engineer · R&amp;D in Bioplastics · BSc Genomic Biotechnology</t>
  </si>
  <si>
    <t xml:space="preserve">Biotecnología / Industry</t>
  </si>
  <si>
    <t xml:space="preserve">https://www.linkedin.com/in/aldo-gael-luna-almaraz/</t>
  </si>
  <si>
    <t xml:space="preserve">11:58</t>
  </si>
  <si>
    <t xml:space="preserve">Eugenia</t>
  </si>
  <si>
    <t xml:space="preserve">Degregori</t>
  </si>
  <si>
    <t xml:space="preserve">Médica</t>
  </si>
  <si>
    <t xml:space="preserve">Healthcare / Medicine</t>
  </si>
  <si>
    <t xml:space="preserve">https://www.linkedin.com/in/eugenia-degregori/</t>
  </si>
  <si>
    <t xml:space="preserve">12:00</t>
  </si>
  <si>
    <t xml:space="preserve">Guadalupe</t>
  </si>
  <si>
    <t xml:space="preserve">Caballero Patiño</t>
  </si>
  <si>
    <t xml:space="preserve">Ingeniera Bioquímica</t>
  </si>
  <si>
    <t xml:space="preserve">https://www.linkedin.com/in/guadalupe-caballero-patino/</t>
  </si>
  <si>
    <t xml:space="preserve">12:05</t>
  </si>
  <si>
    <t xml:space="preserve">Dafne</t>
  </si>
  <si>
    <t xml:space="preserve">Jiménez Hernández</t>
  </si>
  <si>
    <t xml:space="preserve">Medical Writer · Infectious &amp; Tropical Diseases · Bioinformatics · MSc IPN</t>
  </si>
  <si>
    <t xml:space="preserve">Pharmaceuticals / Medical Writing</t>
  </si>
  <si>
    <t xml:space="preserve">https://www.linkedin.com/in/dafne-jimenez-hernandez/</t>
  </si>
  <si>
    <t xml:space="preserve">12:10</t>
  </si>
  <si>
    <t xml:space="preserve">Gisella</t>
  </si>
  <si>
    <t xml:space="preserve">Obholz</t>
  </si>
  <si>
    <t xml:space="preserve">Estudiante de doctorado · CONICET</t>
  </si>
  <si>
    <t xml:space="preserve">https://www.linkedin.com/in/gisella-obholz/</t>
  </si>
  <si>
    <t xml:space="preserve">12:15</t>
  </si>
  <si>
    <t xml:space="preserve">César</t>
  </si>
  <si>
    <t xml:space="preserve">Espino De la Fuente Muñoz</t>
  </si>
  <si>
    <t xml:space="preserve">Investigador Postdoctoral · Inst. Investigaciones Biomédicas UNAM · Premio Alzheimer 2023-2024</t>
  </si>
  <si>
    <t xml:space="preserve">https://www.linkedin.com/in/cesar-espino-de-la-fuente-munoz/</t>
  </si>
  <si>
    <t xml:space="preserve">Mensajes de outreach · LinkedIn → /revisar-cv</t>
  </si>
  <si>
    <t xml:space="preserve">Regla operativa:</t>
  </si>
  <si>
    <t xml:space="preserve">1. Cada solicitud de conexión usa UNA variante (V1, V2, V3, V4). Rotar entre envíos.</t>
  </si>
  <si>
    <t xml:space="preserve">2. NO mandar dos veces consecutivas la misma variante. Patrón: V1 → V2 → V3 → V4 → V1 → V2...</t>
  </si>
  <si>
    <t xml:space="preserve">3. Si tienes el nombre del perfil, sustituye 'Hola!' por 'Hola [Nombre],'.</t>
  </si>
  <si>
    <t xml:space="preserve">4. Si LinkedIn corta porque excede 200 chars, usa la versión más corta sin '?ref=li'.</t>
  </si>
  <si>
    <t xml:space="preserve">5. Volumen objetivo: 10-15 envíos/día · Lun-Vie · 0 envíos Sáb-Dom.</t>
  </si>
  <si>
    <t xml:space="preserve">6. Distribuir en el día: 3 a las 9 AM, 4 al medio día, 4 a las 4 PM, 3 a las 8 PM.</t>
  </si>
  <si>
    <t xml:space="preserve">Variante</t>
  </si>
  <si>
    <t xml:space="preserve">Texto del mensaje</t>
  </si>
  <si>
    <t xml:space="preserve">Caracteres</t>
  </si>
  <si>
    <t xml:space="preserve">V1 · Pregunta directa</t>
  </si>
  <si>
    <t xml:space="preserve">Hola! ¿estás aplicando a industria farmacéutica desde tu PhD? Hice un analizador gratis de CV con el filtro de un reclutador pharma. solcaciencia.com/revisar-cv?ref=li</t>
  </si>
  <si>
    <t xml:space="preserve">V2 · Buscando primer rol</t>
  </si>
  <si>
    <t xml:space="preserve">Hola! ¿Buscas tu primer rol en industria farmacéutica? Tengo un analizador gratis de CV con filtro de reclutador pharma. solcaciencia.com/revisar-cv?ref=li</t>
  </si>
  <si>
    <t xml:space="preserve">V3 · Transición academia</t>
  </si>
  <si>
    <t xml:space="preserve">Hola! ¿Estás en transición de academia a pharma? Hice un analizador gratis de CV con filtro de reclutador pharma. solcaciencia.com/revisar-cv?ref=li</t>
  </si>
  <si>
    <t xml:space="preserve">V4 · Interés general</t>
  </si>
  <si>
    <t xml:space="preserve">Hola! ¿Te interesa industria farmacéutica desde tu PhD? Tengo un analizador gratis de CV pensado para PhDs en transición. solcaciencia.com/revisar-cv?ref=li</t>
  </si>
  <si>
    <t xml:space="preserve">Resumen de campaña · LinkedIn → /revisar-cv</t>
  </si>
  <si>
    <t xml:space="preserve">Métrica</t>
  </si>
  <si>
    <t xml:space="preserve">Valor</t>
  </si>
  <si>
    <t xml:space="preserve">Benchmark</t>
  </si>
  <si>
    <t xml:space="preserve">Total enviados</t>
  </si>
  <si>
    <t xml:space="preserve">Pendientes (en cola)</t>
  </si>
  <si>
    <t xml:space="preserve">Aceptados</t>
  </si>
  <si>
    <t xml:space="preserve">Tasa de aceptación</t>
  </si>
  <si>
    <t xml:space="preserve">&gt;30% bien · &lt;15% pausa</t>
  </si>
  <si>
    <t xml:space="preserve">Respondidos</t>
  </si>
  <si>
    <t xml:space="preserve">Tasa de respuesta</t>
  </si>
  <si>
    <t xml:space="preserve">10-25% bien</t>
  </si>
  <si>
    <t xml:space="preserve">Bloqueados / restringidos</t>
  </si>
  <si>
    <t xml:space="preserve">0 ideal · si &gt;0 PAUSAR</t>
  </si>
  <si>
    <t xml:space="preserve">Clicks reportados</t>
  </si>
  <si>
    <t xml:space="preserve">Distribución por país</t>
  </si>
  <si>
    <t xml:space="preserve">Enviados</t>
  </si>
  <si>
    <t xml:space="preserve">Colombia</t>
  </si>
  <si>
    <t xml:space="preserve">Chile</t>
  </si>
  <si>
    <t xml:space="preserve">España</t>
  </si>
  <si>
    <t xml:space="preserve">Perú</t>
  </si>
  <si>
    <t xml:space="preserve">Distribución por variante de mensaje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</si>
</sst>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CD4"/>
      </left>
      <right style="thin">
        <color rgb="FFC7CCD4"/>
      </right>
      <top style="thin">
        <color rgb="FFC7CCD4"/>
      </top>
      <bottom style="thin">
        <color rgb="FFC7CC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CD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  <c r="B1" s="2"/>
    </row>
    <row r="3" customFormat="false" ht="23.2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5" t="s">
        <v>4</v>
      </c>
      <c r="B6" s="4" t="s">
        <v>5</v>
      </c>
    </row>
    <row r="7" customFormat="false" ht="23.25" hidden="false" customHeight="true" outlineLevel="0" collapsed="false">
      <c r="A7" s="5" t="s">
        <v>6</v>
      </c>
      <c r="B7" s="4" t="s">
        <v>7</v>
      </c>
    </row>
    <row r="8" customFormat="false" ht="15" hidden="false" customHeight="true" outlineLevel="0" collapsed="false">
      <c r="A8" s="5" t="s">
        <v>8</v>
      </c>
      <c r="B8" s="4" t="s">
        <v>9</v>
      </c>
    </row>
    <row r="9" customFormat="false" ht="15" hidden="false" customHeight="true" outlineLevel="0" collapsed="false">
      <c r="A9" s="5" t="s">
        <v>10</v>
      </c>
      <c r="B9" s="4" t="s">
        <v>11</v>
      </c>
    </row>
    <row r="10" customFormat="false" ht="15" hidden="false" customHeight="true" outlineLevel="0" collapsed="false">
      <c r="A10" s="5" t="s">
        <v>12</v>
      </c>
      <c r="B10" s="4" t="s">
        <v>13</v>
      </c>
    </row>
    <row r="12" customFormat="false" ht="15" hidden="false" customHeight="true" outlineLevel="0" collapsed="false">
      <c r="A12" s="3" t="s">
        <v>14</v>
      </c>
    </row>
    <row r="13" customFormat="false" ht="15" hidden="false" customHeight="true" outlineLevel="0" collapsed="false">
      <c r="A13" s="5" t="s">
        <v>15</v>
      </c>
      <c r="B13" s="4" t="s">
        <v>16</v>
      </c>
    </row>
    <row r="14" customFormat="false" ht="15" hidden="false" customHeight="true" outlineLevel="0" collapsed="false">
      <c r="A14" s="5" t="s">
        <v>15</v>
      </c>
      <c r="B14" s="4" t="s">
        <v>17</v>
      </c>
    </row>
    <row r="15" customFormat="false" ht="23.25" hidden="false" customHeight="true" outlineLevel="0" collapsed="false">
      <c r="A15" s="5" t="s">
        <v>15</v>
      </c>
      <c r="B15" s="4" t="s">
        <v>18</v>
      </c>
    </row>
    <row r="16" customFormat="false" ht="15" hidden="false" customHeight="true" outlineLevel="0" collapsed="false">
      <c r="A16" s="5" t="s">
        <v>15</v>
      </c>
      <c r="B16" s="4" t="s">
        <v>19</v>
      </c>
    </row>
    <row r="17" customFormat="false" ht="15" hidden="false" customHeight="true" outlineLevel="0" collapsed="false">
      <c r="A17" s="5" t="s">
        <v>15</v>
      </c>
      <c r="B17" s="4" t="s">
        <v>20</v>
      </c>
    </row>
    <row r="19" customFormat="false" ht="15" hidden="false" customHeight="true" outlineLevel="0" collapsed="false">
      <c r="A19" s="3" t="s">
        <v>21</v>
      </c>
    </row>
    <row r="20" customFormat="false" ht="15" hidden="false" customHeight="true" outlineLevel="0" collapsed="false">
      <c r="A20" s="5" t="s">
        <v>15</v>
      </c>
      <c r="B20" s="4" t="s">
        <v>22</v>
      </c>
    </row>
    <row r="21" customFormat="false" ht="15" hidden="false" customHeight="true" outlineLevel="0" collapsed="false">
      <c r="A21" s="5" t="s">
        <v>15</v>
      </c>
      <c r="B21" s="4" t="s">
        <v>23</v>
      </c>
    </row>
    <row r="22" customFormat="false" ht="15" hidden="false" customHeight="true" outlineLevel="0" collapsed="false">
      <c r="A22" s="5" t="s">
        <v>15</v>
      </c>
      <c r="B22" s="4" t="s">
        <v>24</v>
      </c>
    </row>
    <row r="23" customFormat="false" ht="15" hidden="false" customHeight="true" outlineLevel="0" collapsed="false">
      <c r="A23" s="5" t="s">
        <v>15</v>
      </c>
      <c r="B23" s="4" t="s">
        <v>25</v>
      </c>
    </row>
    <row r="24" customFormat="false" ht="15" hidden="false" customHeight="true" outlineLevel="0" collapsed="false">
      <c r="A24" s="5" t="s">
        <v>15</v>
      </c>
      <c r="B24" s="4" t="s">
        <v>26</v>
      </c>
    </row>
    <row r="26" customFormat="false" ht="15" hidden="false" customHeight="true" outlineLevel="0" collapsed="false">
      <c r="A26" s="3" t="s">
        <v>27</v>
      </c>
    </row>
    <row r="27" customFormat="false" ht="15" hidden="false" customHeight="true" outlineLevel="0" collapsed="false">
      <c r="A27" s="5" t="s">
        <v>15</v>
      </c>
      <c r="B27" s="4" t="s">
        <v>28</v>
      </c>
    </row>
    <row r="28" customFormat="false" ht="15" hidden="false" customHeight="true" outlineLevel="0" collapsed="false">
      <c r="A28" s="5" t="s">
        <v>15</v>
      </c>
      <c r="B28" s="4" t="s">
        <v>29</v>
      </c>
    </row>
    <row r="29" customFormat="false" ht="15" hidden="false" customHeight="true" outlineLevel="0" collapsed="false">
      <c r="A29" s="5" t="s">
        <v>15</v>
      </c>
      <c r="B29" s="4" t="s">
        <v>30</v>
      </c>
    </row>
    <row r="31" customFormat="false" ht="15" hidden="false" customHeight="true" outlineLevel="0" collapsed="false">
      <c r="A31" s="3" t="s">
        <v>31</v>
      </c>
    </row>
    <row r="32" customFormat="false" ht="15" hidden="false" customHeight="true" outlineLevel="0" collapsed="false">
      <c r="A32" s="5" t="s">
        <v>15</v>
      </c>
      <c r="B32" s="4" t="s">
        <v>32</v>
      </c>
    </row>
    <row r="33" customFormat="false" ht="15" hidden="false" customHeight="true" outlineLevel="0" collapsed="false">
      <c r="A33" s="5" t="s">
        <v>15</v>
      </c>
      <c r="B33" s="4" t="s">
        <v>33</v>
      </c>
    </row>
    <row r="34" customFormat="false" ht="15" hidden="false" customHeight="true" outlineLevel="0" collapsed="false">
      <c r="A34" s="5" t="s">
        <v>15</v>
      </c>
      <c r="B34" s="4" t="s">
        <v>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38"/>
    <col collapsed="false" customWidth="true" hidden="false" outlineLevel="0" max="12" min="9" style="1" width="14"/>
    <col collapsed="false" customWidth="true" hidden="false" outlineLevel="0" max="13" min="13" style="1" width="28"/>
  </cols>
  <sheetData>
    <row r="1" customFormat="false" ht="31.5" hidden="false" customHeight="true" outlineLevel="0" collapsed="false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</row>
    <row r="2" customFormat="false" ht="15" hidden="false" customHeight="true" outlineLevel="0" collapsed="false">
      <c r="A2" s="7" t="n">
        <v>46162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  <c r="J2" s="8" t="s">
        <v>56</v>
      </c>
      <c r="K2" s="8"/>
      <c r="L2" s="8"/>
      <c r="M2" s="8"/>
    </row>
    <row r="3" customFormat="false" ht="15" hidden="false" customHeight="true" outlineLevel="0" collapsed="false">
      <c r="A3" s="7" t="n">
        <v>46162</v>
      </c>
      <c r="B3" s="8" t="s">
        <v>57</v>
      </c>
      <c r="C3" s="8" t="s">
        <v>58</v>
      </c>
      <c r="D3" s="8" t="s">
        <v>59</v>
      </c>
      <c r="E3" s="8" t="s">
        <v>60</v>
      </c>
      <c r="F3" s="8" t="s">
        <v>52</v>
      </c>
      <c r="G3" s="8" t="s">
        <v>53</v>
      </c>
      <c r="H3" s="8" t="s">
        <v>61</v>
      </c>
      <c r="I3" s="8" t="s">
        <v>62</v>
      </c>
      <c r="J3" s="8" t="s">
        <v>56</v>
      </c>
      <c r="K3" s="8"/>
      <c r="L3" s="8"/>
      <c r="M3" s="8"/>
    </row>
    <row r="4" customFormat="false" ht="15" hidden="false" customHeight="true" outlineLevel="0" collapsed="false">
      <c r="A4" s="7" t="n">
        <v>46162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52</v>
      </c>
      <c r="G4" s="8" t="s">
        <v>53</v>
      </c>
      <c r="H4" s="8" t="s">
        <v>67</v>
      </c>
      <c r="I4" s="8" t="s">
        <v>68</v>
      </c>
      <c r="J4" s="8" t="s">
        <v>56</v>
      </c>
      <c r="K4" s="8"/>
      <c r="L4" s="8"/>
      <c r="M4" s="8"/>
    </row>
    <row r="5" customFormat="false" ht="15" hidden="false" customHeight="true" outlineLevel="0" collapsed="false">
      <c r="A5" s="7" t="n">
        <v>46162</v>
      </c>
      <c r="B5" s="8" t="s">
        <v>69</v>
      </c>
      <c r="C5" s="8" t="s">
        <v>58</v>
      </c>
      <c r="D5" s="8" t="s">
        <v>70</v>
      </c>
      <c r="E5" s="8" t="s">
        <v>71</v>
      </c>
      <c r="F5" s="8" t="s">
        <v>72</v>
      </c>
      <c r="G5" s="8" t="s">
        <v>53</v>
      </c>
      <c r="H5" s="8" t="s">
        <v>73</v>
      </c>
      <c r="I5" s="8" t="s">
        <v>74</v>
      </c>
      <c r="J5" s="8" t="s">
        <v>56</v>
      </c>
      <c r="K5" s="8"/>
      <c r="L5" s="8"/>
      <c r="M5" s="8"/>
    </row>
    <row r="6" customFormat="false" ht="15" hidden="false" customHeight="true" outlineLevel="0" collapsed="false">
      <c r="A6" s="7" t="n">
        <v>46162</v>
      </c>
      <c r="B6" s="8" t="s">
        <v>69</v>
      </c>
      <c r="C6" s="8" t="s">
        <v>75</v>
      </c>
      <c r="D6" s="8" t="s">
        <v>76</v>
      </c>
      <c r="E6" s="8" t="s">
        <v>77</v>
      </c>
      <c r="F6" s="8" t="s">
        <v>52</v>
      </c>
      <c r="G6" s="8" t="s">
        <v>53</v>
      </c>
      <c r="H6" s="8" t="s">
        <v>78</v>
      </c>
      <c r="I6" s="8" t="s">
        <v>55</v>
      </c>
      <c r="J6" s="8" t="s">
        <v>56</v>
      </c>
      <c r="K6" s="8"/>
      <c r="L6" s="8"/>
      <c r="M6" s="8"/>
    </row>
    <row r="7" customFormat="false" ht="15" hidden="false" customHeight="true" outlineLevel="0" collapsed="false">
      <c r="A7" s="7" t="n">
        <v>46162</v>
      </c>
      <c r="B7" s="8" t="s">
        <v>79</v>
      </c>
      <c r="C7" s="8" t="s">
        <v>80</v>
      </c>
      <c r="D7" s="8" t="s">
        <v>81</v>
      </c>
      <c r="E7" s="8" t="s">
        <v>82</v>
      </c>
      <c r="F7" s="8" t="s">
        <v>52</v>
      </c>
      <c r="G7" s="8" t="s">
        <v>83</v>
      </c>
      <c r="H7" s="8" t="s">
        <v>84</v>
      </c>
      <c r="I7" s="8" t="s">
        <v>62</v>
      </c>
      <c r="J7" s="8" t="s">
        <v>56</v>
      </c>
      <c r="K7" s="8"/>
      <c r="L7" s="8"/>
      <c r="M7" s="8"/>
    </row>
    <row r="8" customFormat="false" ht="15" hidden="false" customHeight="true" outlineLevel="0" collapsed="false">
      <c r="A8" s="7" t="n">
        <v>46162</v>
      </c>
      <c r="B8" s="8" t="s">
        <v>85</v>
      </c>
      <c r="C8" s="8" t="s">
        <v>86</v>
      </c>
      <c r="D8" s="8" t="s">
        <v>87</v>
      </c>
      <c r="E8" s="8" t="s">
        <v>88</v>
      </c>
      <c r="F8" s="8" t="s">
        <v>52</v>
      </c>
      <c r="G8" s="8" t="s">
        <v>53</v>
      </c>
      <c r="H8" s="8" t="s">
        <v>89</v>
      </c>
      <c r="I8" s="8" t="s">
        <v>68</v>
      </c>
      <c r="J8" s="8" t="s">
        <v>56</v>
      </c>
      <c r="K8" s="8"/>
      <c r="L8" s="8"/>
      <c r="M8" s="8"/>
    </row>
    <row r="9" customFormat="false" ht="15" hidden="false" customHeight="true" outlineLevel="0" collapsed="false">
      <c r="A9" s="7" t="n">
        <v>46162</v>
      </c>
      <c r="B9" s="8" t="s">
        <v>90</v>
      </c>
      <c r="C9" s="8" t="s">
        <v>91</v>
      </c>
      <c r="D9" s="8" t="s">
        <v>92</v>
      </c>
      <c r="E9" s="8" t="s">
        <v>93</v>
      </c>
      <c r="F9" s="8" t="s">
        <v>94</v>
      </c>
      <c r="G9" s="8" t="s">
        <v>53</v>
      </c>
      <c r="H9" s="8" t="s">
        <v>95</v>
      </c>
      <c r="I9" s="8" t="s">
        <v>74</v>
      </c>
      <c r="J9" s="8" t="s">
        <v>56</v>
      </c>
      <c r="K9" s="8"/>
      <c r="L9" s="8"/>
      <c r="M9" s="8"/>
    </row>
    <row r="10" customFormat="false" ht="15" hidden="false" customHeight="true" outlineLevel="0" collapsed="false">
      <c r="A10" s="7" t="n">
        <v>46162</v>
      </c>
      <c r="B10" s="8" t="s">
        <v>96</v>
      </c>
      <c r="C10" s="8" t="s">
        <v>97</v>
      </c>
      <c r="D10" s="8" t="s">
        <v>98</v>
      </c>
      <c r="E10" s="8" t="s">
        <v>99</v>
      </c>
      <c r="F10" s="8" t="s">
        <v>52</v>
      </c>
      <c r="G10" s="8" t="s">
        <v>100</v>
      </c>
      <c r="H10" s="8" t="s">
        <v>101</v>
      </c>
      <c r="I10" s="8" t="s">
        <v>55</v>
      </c>
      <c r="J10" s="8" t="s">
        <v>56</v>
      </c>
      <c r="K10" s="8"/>
      <c r="L10" s="8"/>
      <c r="M10" s="8"/>
    </row>
    <row r="11" customFormat="false" ht="15" hidden="false" customHeight="true" outlineLevel="0" collapsed="false">
      <c r="A11" s="7" t="n">
        <v>46162</v>
      </c>
      <c r="B11" s="8" t="s">
        <v>102</v>
      </c>
      <c r="C11" s="8" t="s">
        <v>103</v>
      </c>
      <c r="D11" s="8" t="s">
        <v>104</v>
      </c>
      <c r="E11" s="8" t="s">
        <v>105</v>
      </c>
      <c r="F11" s="8" t="s">
        <v>52</v>
      </c>
      <c r="G11" s="8" t="s">
        <v>106</v>
      </c>
      <c r="H11" s="8" t="s">
        <v>107</v>
      </c>
      <c r="I11" s="8" t="s">
        <v>62</v>
      </c>
      <c r="J11" s="8" t="s">
        <v>56</v>
      </c>
      <c r="K11" s="8"/>
      <c r="L11" s="8"/>
      <c r="M11" s="8"/>
    </row>
    <row r="12" customFormat="false" ht="15" hidden="false" customHeight="true" outlineLevel="0" collapsed="false">
      <c r="A12" s="7" t="n">
        <v>46162</v>
      </c>
      <c r="B12" s="8" t="s">
        <v>108</v>
      </c>
      <c r="C12" s="8" t="s">
        <v>109</v>
      </c>
      <c r="D12" s="8" t="s">
        <v>110</v>
      </c>
      <c r="E12" s="8" t="s">
        <v>111</v>
      </c>
      <c r="F12" s="8" t="s">
        <v>52</v>
      </c>
      <c r="G12" s="8" t="s">
        <v>112</v>
      </c>
      <c r="H12" s="8" t="s">
        <v>113</v>
      </c>
      <c r="I12" s="8" t="s">
        <v>68</v>
      </c>
      <c r="J12" s="8" t="s">
        <v>56</v>
      </c>
      <c r="K12" s="8"/>
      <c r="L12" s="8"/>
      <c r="M12" s="8"/>
    </row>
    <row r="13" customFormat="false" ht="15" hidden="false" customHeight="true" outlineLevel="0" collapsed="false">
      <c r="A13" s="7" t="n">
        <v>46162</v>
      </c>
      <c r="B13" s="8" t="s">
        <v>114</v>
      </c>
      <c r="C13" s="8" t="s">
        <v>115</v>
      </c>
      <c r="D13" s="8" t="s">
        <v>116</v>
      </c>
      <c r="E13" s="8" t="s">
        <v>117</v>
      </c>
      <c r="F13" s="8" t="s">
        <v>52</v>
      </c>
      <c r="G13" s="8" t="s">
        <v>100</v>
      </c>
      <c r="H13" s="8" t="s">
        <v>118</v>
      </c>
      <c r="I13" s="8" t="s">
        <v>74</v>
      </c>
      <c r="J13" s="8" t="s">
        <v>56</v>
      </c>
      <c r="K13" s="8"/>
      <c r="L13" s="8"/>
      <c r="M13" s="8"/>
    </row>
    <row r="14" customFormat="false" ht="15" hidden="false" customHeight="true" outlineLevel="0" collapsed="false">
      <c r="A14" s="7" t="n">
        <v>46162</v>
      </c>
      <c r="B14" s="8" t="s">
        <v>119</v>
      </c>
      <c r="C14" s="8" t="s">
        <v>120</v>
      </c>
      <c r="D14" s="8" t="s">
        <v>121</v>
      </c>
      <c r="E14" s="8" t="s">
        <v>122</v>
      </c>
      <c r="F14" s="8" t="s">
        <v>52</v>
      </c>
      <c r="G14" s="8" t="s">
        <v>123</v>
      </c>
      <c r="H14" s="8" t="s">
        <v>124</v>
      </c>
      <c r="I14" s="8" t="s">
        <v>55</v>
      </c>
      <c r="J14" s="8" t="s">
        <v>56</v>
      </c>
      <c r="K14" s="8"/>
      <c r="L14" s="8"/>
      <c r="M14" s="8"/>
    </row>
    <row r="15" customFormat="false" ht="15" hidden="false" customHeight="true" outlineLevel="0" collapsed="false">
      <c r="A15" s="7" t="n">
        <v>46162</v>
      </c>
      <c r="B15" s="8" t="s">
        <v>125</v>
      </c>
      <c r="C15" s="8" t="s">
        <v>126</v>
      </c>
      <c r="D15" s="8" t="s">
        <v>127</v>
      </c>
      <c r="E15" s="8" t="s">
        <v>128</v>
      </c>
      <c r="F15" s="8" t="s">
        <v>94</v>
      </c>
      <c r="G15" s="8" t="s">
        <v>53</v>
      </c>
      <c r="H15" s="8" t="s">
        <v>129</v>
      </c>
      <c r="I15" s="8" t="s">
        <v>62</v>
      </c>
      <c r="J15" s="8" t="s">
        <v>56</v>
      </c>
      <c r="K15" s="8"/>
      <c r="L15" s="8"/>
      <c r="M15" s="8"/>
    </row>
    <row r="16" customFormat="false" ht="15" hidden="false" customHeight="true" outlineLevel="0" collapsed="false">
      <c r="A16" s="7" t="n">
        <v>46162</v>
      </c>
      <c r="B16" s="8" t="s">
        <v>130</v>
      </c>
      <c r="C16" s="8" t="s">
        <v>131</v>
      </c>
      <c r="D16" s="8" t="s">
        <v>132</v>
      </c>
      <c r="E16" s="8" t="s">
        <v>133</v>
      </c>
      <c r="F16" s="8" t="s">
        <v>52</v>
      </c>
      <c r="G16" s="8" t="s">
        <v>53</v>
      </c>
      <c r="H16" s="8" t="s">
        <v>134</v>
      </c>
      <c r="I16" s="8" t="s">
        <v>68</v>
      </c>
      <c r="J16" s="8" t="s">
        <v>56</v>
      </c>
      <c r="K16" s="8"/>
      <c r="L16" s="8"/>
      <c r="M16" s="8"/>
    </row>
    <row r="17" customFormat="false" ht="15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tru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customFormat="false" ht="15" hidden="false" customHeight="tru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5" hidden="false" customHeight="tru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customFormat="false" ht="15" hidden="false" customHeight="tru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customFormat="false" ht="15" hidden="false" customHeight="tru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customFormat="false" ht="15" hidden="false" customHeight="tru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customFormat="false" ht="15" hidden="false" customHeight="tru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customFormat="false" ht="15" hidden="false" customHeight="tru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customFormat="false" ht="15" hidden="false" customHeight="tru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customFormat="false" ht="15" hidden="false" customHeight="tru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customFormat="false" ht="15" hidden="false" customHeight="tru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customFormat="false" ht="15" hidden="false" customHeight="tru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customFormat="false" ht="15" hidden="false" customHeight="tru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customFormat="false" ht="15" hidden="false" customHeight="tru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customFormat="false" ht="15" hidden="false" customHeight="tru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customFormat="false" ht="15" hidden="false" customHeight="tru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customFormat="false" ht="15" hidden="false" customHeight="tru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customFormat="false" ht="15" hidden="false" customHeight="tru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customFormat="false" ht="15" hidden="false" customHeight="tru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customFormat="false" ht="15" hidden="false" customHeight="tru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customFormat="false" ht="15" hidden="false" customHeight="tru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customFormat="false" ht="15" hidden="false" customHeight="tru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customFormat="false" ht="15" hidden="false" customHeight="tru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customFormat="false" ht="15" hidden="false" customHeight="tru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customFormat="false" ht="15" hidden="false" customHeight="tru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customFormat="false" ht="15" hidden="false" customHeight="tru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customFormat="false" ht="15" hidden="false" customHeight="tru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customFormat="false" ht="15" hidden="false" customHeight="tru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customFormat="false" ht="15" hidden="false" customHeight="tru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customFormat="false" ht="15" hidden="false" customHeight="tru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customFormat="false" ht="15" hidden="false" customHeight="tru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</sheetData>
  <dataValidations count="3">
    <dataValidation allowBlank="true" errorStyle="stop" operator="between" showDropDown="false" showErrorMessage="false" showInputMessage="false" sqref="J2:J1000" type="list">
      <formula1>"Pendiente,Enviado,Aceptado,Respondió,Bounce,Bloqueado"</formula1>
      <formula2>0</formula2>
    </dataValidation>
    <dataValidation allowBlank="true" errorStyle="stop" operator="between" showDropDown="false" showErrorMessage="false" showInputMessage="false" sqref="I2:I1000" type="list">
      <formula1>"V1,V2,V3,V4"</formula1>
      <formula2>0</formula2>
    </dataValidation>
    <dataValidation allowBlank="true" errorStyle="stop" operator="between" showDropDown="false" showErrorMessage="false" showInputMessage="false" sqref="L2:L1000" type="list">
      <formula1>"Sí,No,Desconocido"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0"/>
    <col collapsed="false" customWidth="true" hidden="false" outlineLevel="0" max="3" min="3" style="1" width="13"/>
  </cols>
  <sheetData>
    <row r="1" customFormat="false" ht="17.25" hidden="false" customHeight="true" outlineLevel="0" collapsed="false">
      <c r="A1" s="2" t="s">
        <v>135</v>
      </c>
      <c r="B1" s="2"/>
      <c r="C1" s="2"/>
    </row>
    <row r="3" customFormat="false" ht="15" hidden="false" customHeight="true" outlineLevel="0" collapsed="false">
      <c r="A3" s="3" t="s">
        <v>136</v>
      </c>
    </row>
    <row r="4" customFormat="false" ht="15" hidden="false" customHeight="true" outlineLevel="0" collapsed="false">
      <c r="A4" s="9" t="s">
        <v>137</v>
      </c>
      <c r="B4" s="9"/>
      <c r="C4" s="9"/>
    </row>
    <row r="5" customFormat="false" ht="15" hidden="false" customHeight="true" outlineLevel="0" collapsed="false">
      <c r="A5" s="9" t="s">
        <v>138</v>
      </c>
      <c r="B5" s="9"/>
      <c r="C5" s="9"/>
    </row>
    <row r="6" customFormat="false" ht="15" hidden="false" customHeight="true" outlineLevel="0" collapsed="false">
      <c r="A6" s="9" t="s">
        <v>139</v>
      </c>
      <c r="B6" s="9"/>
      <c r="C6" s="9"/>
    </row>
    <row r="7" customFormat="false" ht="15" hidden="false" customHeight="true" outlineLevel="0" collapsed="false">
      <c r="A7" s="9" t="s">
        <v>140</v>
      </c>
      <c r="B7" s="9"/>
      <c r="C7" s="9"/>
    </row>
    <row r="8" customFormat="false" ht="15" hidden="false" customHeight="true" outlineLevel="0" collapsed="false">
      <c r="A8" s="9" t="s">
        <v>141</v>
      </c>
      <c r="B8" s="9"/>
      <c r="C8" s="9"/>
    </row>
    <row r="9" customFormat="false" ht="15" hidden="false" customHeight="true" outlineLevel="0" collapsed="false">
      <c r="A9" s="9" t="s">
        <v>142</v>
      </c>
      <c r="B9" s="9"/>
      <c r="C9" s="9"/>
    </row>
    <row r="12" customFormat="false" ht="15" hidden="false" customHeight="true" outlineLevel="0" collapsed="false">
      <c r="A12" s="10" t="s">
        <v>143</v>
      </c>
      <c r="B12" s="10" t="s">
        <v>144</v>
      </c>
      <c r="C12" s="10" t="s">
        <v>145</v>
      </c>
    </row>
    <row r="13" customFormat="false" ht="60" hidden="false" customHeight="true" outlineLevel="0" collapsed="false">
      <c r="A13" s="11" t="s">
        <v>146</v>
      </c>
      <c r="B13" s="8" t="s">
        <v>147</v>
      </c>
      <c r="C13" s="8" t="n">
        <f aca="false">LEN(B13)</f>
        <v>167</v>
      </c>
    </row>
    <row r="14" customFormat="false" ht="60" hidden="false" customHeight="true" outlineLevel="0" collapsed="false">
      <c r="A14" s="11" t="s">
        <v>148</v>
      </c>
      <c r="B14" s="8" t="s">
        <v>149</v>
      </c>
      <c r="C14" s="8" t="n">
        <f aca="false">LEN(B14)</f>
        <v>155</v>
      </c>
    </row>
    <row r="15" customFormat="false" ht="60" hidden="false" customHeight="true" outlineLevel="0" collapsed="false">
      <c r="A15" s="11" t="s">
        <v>150</v>
      </c>
      <c r="B15" s="8" t="s">
        <v>151</v>
      </c>
      <c r="C15" s="8" t="n">
        <f aca="false">LEN(B15)</f>
        <v>148</v>
      </c>
    </row>
    <row r="16" customFormat="false" ht="60" hidden="false" customHeight="true" outlineLevel="0" collapsed="false">
      <c r="A16" s="11" t="s">
        <v>152</v>
      </c>
      <c r="B16" s="8" t="s">
        <v>153</v>
      </c>
      <c r="C16" s="8" t="n">
        <f aca="false">LEN(B16)</f>
        <v>156</v>
      </c>
    </row>
  </sheetData>
  <mergeCells count="7">
    <mergeCell ref="A1:C1"/>
    <mergeCell ref="A4:C4"/>
    <mergeCell ref="A5:C5"/>
    <mergeCell ref="A6:C6"/>
    <mergeCell ref="A7:C7"/>
    <mergeCell ref="A8:C8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32"/>
  </cols>
  <sheetData>
    <row r="1" customFormat="false" ht="17.25" hidden="false" customHeight="true" outlineLevel="0" collapsed="false">
      <c r="A1" s="2" t="s">
        <v>154</v>
      </c>
      <c r="B1" s="2"/>
      <c r="C1" s="2"/>
    </row>
    <row r="3" customFormat="false" ht="15" hidden="false" customHeight="true" outlineLevel="0" collapsed="false">
      <c r="A3" s="10" t="s">
        <v>155</v>
      </c>
      <c r="B3" s="10" t="s">
        <v>156</v>
      </c>
      <c r="C3" s="10" t="s">
        <v>157</v>
      </c>
    </row>
    <row r="4" customFormat="false" ht="15" hidden="false" customHeight="true" outlineLevel="0" collapsed="false">
      <c r="A4" s="12" t="s">
        <v>158</v>
      </c>
      <c r="B4" s="12" t="n">
        <f aca="false">COUNTIF(Tracker!J:J,"Enviado")+COUNTIF(Tracker!J:J,"Aceptado")+COUNTIF(Tracker!J:J,"Respondió")+COUNTIF(Tracker!J:J,"Bounce")+COUNTIF(Tracker!J:J,"Bloqueado")</f>
        <v>15</v>
      </c>
      <c r="C4" s="13"/>
    </row>
    <row r="5" customFormat="false" ht="15" hidden="false" customHeight="true" outlineLevel="0" collapsed="false">
      <c r="A5" s="12" t="s">
        <v>159</v>
      </c>
      <c r="B5" s="12" t="n">
        <f aca="false">COUNTIF(Tracker!J:J,"Pendiente")</f>
        <v>0</v>
      </c>
      <c r="C5" s="13"/>
    </row>
    <row r="6" customFormat="false" ht="15" hidden="false" customHeight="true" outlineLevel="0" collapsed="false">
      <c r="A6" s="12" t="s">
        <v>160</v>
      </c>
      <c r="B6" s="12" t="n">
        <f aca="false">COUNTIF(Tracker!J:J,"Aceptado")+COUNTIF(Tracker!J:J,"Respondió")</f>
        <v>0</v>
      </c>
      <c r="C6" s="13"/>
    </row>
    <row r="7" customFormat="false" ht="15" hidden="false" customHeight="true" outlineLevel="0" collapsed="false">
      <c r="A7" s="12" t="s">
        <v>161</v>
      </c>
      <c r="B7" s="14" t="n">
        <f aca="false">IFERROR(B6/B4,0)</f>
        <v>0</v>
      </c>
      <c r="C7" s="13" t="s">
        <v>162</v>
      </c>
    </row>
    <row r="8" customFormat="false" ht="15" hidden="false" customHeight="true" outlineLevel="0" collapsed="false">
      <c r="A8" s="12" t="s">
        <v>163</v>
      </c>
      <c r="B8" s="12" t="n">
        <f aca="false">COUNTIF(Tracker!J:J,"Respondió")</f>
        <v>0</v>
      </c>
      <c r="C8" s="13"/>
    </row>
    <row r="9" customFormat="false" ht="15" hidden="false" customHeight="true" outlineLevel="0" collapsed="false">
      <c r="A9" s="12" t="s">
        <v>164</v>
      </c>
      <c r="B9" s="14" t="n">
        <f aca="false">IFERROR(B8/B6,0)</f>
        <v>0</v>
      </c>
      <c r="C9" s="13" t="s">
        <v>165</v>
      </c>
    </row>
    <row r="10" customFormat="false" ht="15" hidden="false" customHeight="true" outlineLevel="0" collapsed="false">
      <c r="A10" s="12" t="s">
        <v>166</v>
      </c>
      <c r="B10" s="12" t="n">
        <f aca="false">COUNTIF(Tracker!J:J,"Bloqueado")</f>
        <v>0</v>
      </c>
      <c r="C10" s="13" t="s">
        <v>167</v>
      </c>
    </row>
    <row r="11" customFormat="false" ht="15" hidden="false" customHeight="true" outlineLevel="0" collapsed="false">
      <c r="A11" s="12" t="s">
        <v>168</v>
      </c>
      <c r="B11" s="12" t="n">
        <f aca="false">COUNTIF(Tracker!L:L,"Sí")</f>
        <v>0</v>
      </c>
      <c r="C11" s="13"/>
    </row>
    <row r="14" customFormat="false" ht="15" hidden="false" customHeight="true" outlineLevel="0" collapsed="false">
      <c r="A14" s="3" t="s">
        <v>169</v>
      </c>
    </row>
    <row r="15" customFormat="false" ht="15" hidden="false" customHeight="true" outlineLevel="0" collapsed="false">
      <c r="A15" s="10" t="s">
        <v>40</v>
      </c>
      <c r="B15" s="10" t="s">
        <v>170</v>
      </c>
      <c r="C15" s="10" t="s">
        <v>160</v>
      </c>
    </row>
    <row r="16" customFormat="false" ht="15" hidden="false" customHeight="true" outlineLevel="0" collapsed="false">
      <c r="A16" s="12" t="s">
        <v>52</v>
      </c>
      <c r="B16" s="12" t="n">
        <f aca="false">COUNTIFS(Tracker!F:F,A16)</f>
        <v>12</v>
      </c>
      <c r="C16" s="12" t="n">
        <f aca="false">COUNTIFS(Tracker!F:F,A16,Tracker!J:J,"Aceptado")+COUNTIFS(Tracker!F:F,A16,Tracker!J:J,"Respondió")</f>
        <v>0</v>
      </c>
    </row>
    <row r="17" customFormat="false" ht="15" hidden="false" customHeight="true" outlineLevel="0" collapsed="false">
      <c r="A17" s="12" t="s">
        <v>72</v>
      </c>
      <c r="B17" s="12" t="n">
        <f aca="false">COUNTIFS(Tracker!F:F,A17)</f>
        <v>1</v>
      </c>
      <c r="C17" s="12" t="n">
        <f aca="false">COUNTIFS(Tracker!F:F,A17,Tracker!J:J,"Aceptado")+COUNTIFS(Tracker!F:F,A17,Tracker!J:J,"Respondió")</f>
        <v>0</v>
      </c>
    </row>
    <row r="18" customFormat="false" ht="15" hidden="false" customHeight="true" outlineLevel="0" collapsed="false">
      <c r="A18" s="12" t="s">
        <v>94</v>
      </c>
      <c r="B18" s="12" t="n">
        <f aca="false">COUNTIFS(Tracker!F:F,A18)</f>
        <v>2</v>
      </c>
      <c r="C18" s="12" t="n">
        <f aca="false">COUNTIFS(Tracker!F:F,A18,Tracker!J:J,"Aceptado")+COUNTIFS(Tracker!F:F,A18,Tracker!J:J,"Respondió")</f>
        <v>0</v>
      </c>
    </row>
    <row r="19" customFormat="false" ht="15" hidden="false" customHeight="true" outlineLevel="0" collapsed="false">
      <c r="A19" s="12" t="s">
        <v>171</v>
      </c>
      <c r="B19" s="12" t="n">
        <f aca="false">COUNTIFS(Tracker!F:F,A19)</f>
        <v>0</v>
      </c>
      <c r="C19" s="12" t="n">
        <f aca="false">COUNTIFS(Tracker!F:F,A19,Tracker!J:J,"Aceptado")+COUNTIFS(Tracker!F:F,A19,Tracker!J:J,"Respondió")</f>
        <v>0</v>
      </c>
    </row>
    <row r="20" customFormat="false" ht="15" hidden="false" customHeight="true" outlineLevel="0" collapsed="false">
      <c r="A20" s="12" t="s">
        <v>172</v>
      </c>
      <c r="B20" s="12" t="n">
        <f aca="false">COUNTIFS(Tracker!F:F,A20)</f>
        <v>0</v>
      </c>
      <c r="C20" s="12" t="n">
        <f aca="false">COUNTIFS(Tracker!F:F,A20,Tracker!J:J,"Aceptado")+COUNTIFS(Tracker!F:F,A20,Tracker!J:J,"Respondió")</f>
        <v>0</v>
      </c>
    </row>
    <row r="21" customFormat="false" ht="15" hidden="false" customHeight="true" outlineLevel="0" collapsed="false">
      <c r="A21" s="12" t="s">
        <v>173</v>
      </c>
      <c r="B21" s="12" t="n">
        <f aca="false">COUNTIFS(Tracker!F:F,A21)</f>
        <v>0</v>
      </c>
      <c r="C21" s="12" t="n">
        <f aca="false">COUNTIFS(Tracker!F:F,A21,Tracker!J:J,"Aceptado")+COUNTIFS(Tracker!F:F,A21,Tracker!J:J,"Respondió")</f>
        <v>0</v>
      </c>
    </row>
    <row r="22" customFormat="false" ht="15" hidden="false" customHeight="true" outlineLevel="0" collapsed="false">
      <c r="A22" s="12" t="s">
        <v>174</v>
      </c>
      <c r="B22" s="12" t="n">
        <f aca="false">COUNTIFS(Tracker!F:F,A22)</f>
        <v>0</v>
      </c>
      <c r="C22" s="12" t="n">
        <f aca="false">COUNTIFS(Tracker!F:F,A22,Tracker!J:J,"Aceptado")+COUNTIFS(Tracker!F:F,A22,Tracker!J:J,"Respondió")</f>
        <v>0</v>
      </c>
    </row>
    <row r="25" customFormat="false" ht="15" hidden="false" customHeight="true" outlineLevel="0" collapsed="false">
      <c r="A25" s="3" t="s">
        <v>175</v>
      </c>
    </row>
    <row r="26" customFormat="false" ht="15" hidden="false" customHeight="true" outlineLevel="0" collapsed="false">
      <c r="A26" s="10" t="s">
        <v>143</v>
      </c>
      <c r="B26" s="10" t="s">
        <v>170</v>
      </c>
      <c r="C26" s="10" t="s">
        <v>160</v>
      </c>
    </row>
    <row r="27" customFormat="false" ht="15" hidden="false" customHeight="true" outlineLevel="0" collapsed="false">
      <c r="A27" s="12" t="s">
        <v>55</v>
      </c>
      <c r="B27" s="12" t="n">
        <f aca="false">COUNTIF(Tracker!I:I,A27)</f>
        <v>4</v>
      </c>
      <c r="C27" s="12" t="n">
        <f aca="false">COUNTIFS(Tracker!I:I,A27,Tracker!J:J,"Aceptado")+COUNTIFS(Tracker!I:I,A27,Tracker!J:J,"Respondió")</f>
        <v>0</v>
      </c>
    </row>
    <row r="28" customFormat="false" ht="15" hidden="false" customHeight="true" outlineLevel="0" collapsed="false">
      <c r="A28" s="12" t="s">
        <v>62</v>
      </c>
      <c r="B28" s="12" t="n">
        <f aca="false">COUNTIF(Tracker!I:I,A28)</f>
        <v>4</v>
      </c>
      <c r="C28" s="12" t="n">
        <f aca="false">COUNTIFS(Tracker!I:I,A28,Tracker!J:J,"Aceptado")+COUNTIFS(Tracker!I:I,A28,Tracker!J:J,"Respondió")</f>
        <v>0</v>
      </c>
    </row>
    <row r="29" customFormat="false" ht="15" hidden="false" customHeight="true" outlineLevel="0" collapsed="false">
      <c r="A29" s="12" t="s">
        <v>68</v>
      </c>
      <c r="B29" s="12" t="n">
        <f aca="false">COUNTIF(Tracker!I:I,A29)</f>
        <v>4</v>
      </c>
      <c r="C29" s="12" t="n">
        <f aca="false">COUNTIFS(Tracker!I:I,A29,Tracker!J:J,"Aceptado")+COUNTIFS(Tracker!I:I,A29,Tracker!J:J,"Respondió")</f>
        <v>0</v>
      </c>
    </row>
    <row r="30" customFormat="false" ht="15" hidden="false" customHeight="true" outlineLevel="0" collapsed="false">
      <c r="A30" s="12" t="s">
        <v>74</v>
      </c>
      <c r="B30" s="12" t="n">
        <f aca="false">COUNTIF(Tracker!I:I,A30)</f>
        <v>3</v>
      </c>
      <c r="C30" s="12" t="n">
        <f aca="false">COUNTIFS(Tracker!I:I,A30,Tracker!J:J,"Aceptado")+COUNTIFS(Tracker!I:I,A30,Tracker!J:J,"Respondió")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2026-05-21T17:16:33Z</dcterms:created>
  <dc:creator>openpyxl</dc:creator>
  <dc:description/>
  <dc:language>en-US</dc:language>
  <cp:lastModifiedBy/>
  <dcterms:modified xsi:type="dcterms:W3CDTF">2026-05-21T23:42:47Z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